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-график" sheetId="1" state="visible" r:id="rId1"/>
    <sheet name="Диаграмма" sheetId="2" state="visible" r:id="rId2"/>
    <sheet name="Вехи" sheetId="3" state="visible" r:id="rId3"/>
    <sheet name="Обязательств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0A3E2D"/>
      <sz val="14"/>
    </font>
    <font>
      <i val="1"/>
      <color rgb="00666666"/>
    </font>
    <font>
      <b val="1"/>
      <color rgb="00FFFFFF"/>
      <sz val="11"/>
    </font>
    <font>
      <b val="1"/>
      <color rgb="000A3E2D"/>
    </font>
  </fonts>
  <fills count="6">
    <fill>
      <patternFill/>
    </fill>
    <fill>
      <patternFill patternType="gray125"/>
    </fill>
    <fill>
      <patternFill patternType="solid">
        <fgColor rgb="000D9373"/>
      </patternFill>
    </fill>
    <fill>
      <patternFill patternType="solid">
        <fgColor rgb="00D6F0E1"/>
      </patternFill>
    </fill>
    <fill>
      <patternFill patternType="solid">
        <fgColor rgb="00F4FBF6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8D6CC"/>
      </left>
      <right style="thin">
        <color rgb="00C8D6CC"/>
      </right>
      <top style="thin">
        <color rgb="00C8D6CC"/>
      </top>
      <bottom style="thin">
        <color rgb="00C8D6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Automacon WCS — диаграмма Ганта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'Диаграмма'!C3</f>
            </strRef>
          </tx>
          <spPr>
            <a:solidFill>
              <a:srgbClr val="FFFFFF"/>
            </a:solidFill>
            <a:ln>
              <a:noFill/>
              <a:prstDash val="solid"/>
            </a:ln>
          </spPr>
          <cat>
            <numRef>
              <f>'Диаграмма'!$B$4:$B$60</f>
            </numRef>
          </cat>
          <val>
            <numRef>
              <f>'Диаграмма'!$C$4:$C$60</f>
            </numRef>
          </val>
        </ser>
        <ser>
          <idx val="1"/>
          <order val="1"/>
          <tx>
            <strRef>
              <f>'Диаграмма'!D3</f>
            </strRef>
          </tx>
          <spPr>
            <a:solidFill>
              <a:srgbClr val="07C983"/>
            </a:solidFill>
            <a:ln>
              <a:solidFill>
                <a:srgbClr val="0D9373"/>
              </a:solidFill>
              <a:prstDash val="solid"/>
            </a:ln>
          </spPr>
          <cat>
            <numRef>
              <f>'Диаграмма'!$B$4:$B$60</f>
            </numRef>
          </cat>
          <val>
            <numRef>
              <f>'Диаграмма'!$D$4:$D$60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Дни от старта проекта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11520000" cy="1344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14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>
      <c r="A1" s="1" t="inlineStr">
        <is>
          <t>Automacon WCS — план-график проекта</t>
        </is>
      </c>
    </row>
    <row r="2">
      <c r="A2" s="2" t="inlineStr">
        <is>
          <t>Целевая дата перехода в промышленную эксплуатацию: 27.09.2026</t>
        </is>
      </c>
    </row>
    <row r="3" ht="28" customHeight="1">
      <c r="A3" s="3" t="inlineStr">
        <is>
          <t>№</t>
        </is>
      </c>
      <c r="B3" s="3" t="inlineStr">
        <is>
          <t>Задача</t>
        </is>
      </c>
      <c r="C3" s="3" t="inlineStr">
        <is>
          <t>Дата начала</t>
        </is>
      </c>
      <c r="D3" s="3" t="inlineStr">
        <is>
          <t>Дата окончания</t>
        </is>
      </c>
      <c r="E3" s="3" t="inlineStr">
        <is>
          <t>Длит., дн.</t>
        </is>
      </c>
      <c r="F3" s="3" t="inlineStr">
        <is>
          <t>Ответственный</t>
        </is>
      </c>
      <c r="G3" s="3" t="inlineStr">
        <is>
          <t>Веха</t>
        </is>
      </c>
    </row>
    <row r="4" ht="22" customHeight="1">
      <c r="A4" s="4" t="inlineStr">
        <is>
          <t>Этап 1</t>
        </is>
      </c>
      <c r="B4" s="4" t="inlineStr">
        <is>
          <t>Предпроектная стадия</t>
        </is>
      </c>
      <c r="C4" s="5" t="n">
        <v>46133</v>
      </c>
      <c r="D4" s="5" t="n">
        <v>46164</v>
      </c>
      <c r="E4" s="6" t="n">
        <v>31</v>
      </c>
      <c r="F4" s="4" t="inlineStr">
        <is>
          <t>Андрей Соколов</t>
        </is>
      </c>
      <c r="G4" s="4" t="inlineStr">
        <is>
          <t>М1</t>
        </is>
      </c>
    </row>
    <row r="5" ht="18" customHeight="1">
      <c r="A5" s="7" t="inlineStr">
        <is>
          <t>1.1</t>
        </is>
      </c>
      <c r="B5" s="7" t="inlineStr">
        <is>
          <t>Получение ответов от подразделения «Охрана труда»</t>
        </is>
      </c>
      <c r="C5" s="8" t="n">
        <v>46142</v>
      </c>
      <c r="D5" s="8" t="n">
        <v>46154</v>
      </c>
      <c r="E5" s="9" t="n">
        <v>12</v>
      </c>
      <c r="F5" s="7" t="inlineStr">
        <is>
          <t>Андрей Соколов</t>
        </is>
      </c>
      <c r="G5" s="9" t="inlineStr"/>
    </row>
    <row r="6" ht="18" customHeight="1">
      <c r="A6" s="10" t="inlineStr">
        <is>
          <t>1.2</t>
        </is>
      </c>
      <c r="B6" s="10" t="inlineStr">
        <is>
          <t>Получение ответов от подразделения «ИТ»</t>
        </is>
      </c>
      <c r="C6" s="11" t="n">
        <v>46142</v>
      </c>
      <c r="D6" s="11" t="n">
        <v>46154</v>
      </c>
      <c r="E6" s="12" t="n">
        <v>12</v>
      </c>
      <c r="F6" s="10" t="inlineStr">
        <is>
          <t>Антон Руль</t>
        </is>
      </c>
      <c r="G6" s="12" t="inlineStr"/>
    </row>
    <row r="7" ht="18" customHeight="1">
      <c r="A7" s="7" t="inlineStr">
        <is>
          <t>1.3</t>
        </is>
      </c>
      <c r="B7" s="7" t="inlineStr">
        <is>
          <t>Получение ответов от подразделения «Информационная безопасность»</t>
        </is>
      </c>
      <c r="C7" s="8" t="n">
        <v>46142</v>
      </c>
      <c r="D7" s="8" t="n">
        <v>46157</v>
      </c>
      <c r="E7" s="9" t="n">
        <v>15</v>
      </c>
      <c r="F7" s="7" t="inlineStr">
        <is>
          <t>Антон Руль</t>
        </is>
      </c>
      <c r="G7" s="9" t="inlineStr"/>
    </row>
    <row r="8" ht="18" customHeight="1">
      <c r="A8" s="10" t="inlineStr">
        <is>
          <t>1.4</t>
        </is>
      </c>
      <c r="B8" s="10" t="inlineStr">
        <is>
          <t>Получение ответов от подразделения «Производственная логистика и WMS Axelot»</t>
        </is>
      </c>
      <c r="C8" s="11" t="n">
        <v>46142</v>
      </c>
      <c r="D8" s="11" t="n">
        <v>46154</v>
      </c>
      <c r="E8" s="12" t="n">
        <v>12</v>
      </c>
      <c r="F8" s="10" t="inlineStr">
        <is>
          <t>Андрей Соколов</t>
        </is>
      </c>
      <c r="G8" s="12" t="inlineStr"/>
    </row>
    <row r="9" ht="18" customHeight="1">
      <c r="A9" s="7" t="inlineStr">
        <is>
          <t>1.5</t>
        </is>
      </c>
      <c r="B9" s="7" t="inlineStr">
        <is>
          <t>Получение ответов от подразделения «Производственные участки»</t>
        </is>
      </c>
      <c r="C9" s="8" t="n">
        <v>46142</v>
      </c>
      <c r="D9" s="8" t="n">
        <v>46157</v>
      </c>
      <c r="E9" s="9" t="n">
        <v>15</v>
      </c>
      <c r="F9" s="7" t="inlineStr">
        <is>
          <t>Андрей Соколов</t>
        </is>
      </c>
      <c r="G9" s="9" t="inlineStr"/>
    </row>
    <row r="10" ht="18" customHeight="1">
      <c r="A10" s="10" t="inlineStr">
        <is>
          <t>1.6</t>
        </is>
      </c>
      <c r="B10" s="10" t="inlineStr">
        <is>
          <t>Финализация сценариев работы парка и технического задания</t>
        </is>
      </c>
      <c r="C10" s="11" t="n">
        <v>46157</v>
      </c>
      <c r="D10" s="11" t="n">
        <v>46164</v>
      </c>
      <c r="E10" s="12" t="n">
        <v>7</v>
      </c>
      <c r="F10" s="10" t="inlineStr">
        <is>
          <t>Андрей Соколов</t>
        </is>
      </c>
      <c r="G10" s="12" t="inlineStr"/>
    </row>
    <row r="11" ht="18" customHeight="1">
      <c r="A11" s="7" t="inlineStr">
        <is>
          <t>1.7</t>
        </is>
      </c>
      <c r="B11" s="7" t="inlineStr">
        <is>
          <t>Подготовка и передача документа «Требования к среде эксплуатации»</t>
        </is>
      </c>
      <c r="C11" s="8" t="n">
        <v>46146</v>
      </c>
      <c r="D11" s="8" t="n">
        <v>46154</v>
      </c>
      <c r="E11" s="9" t="n">
        <v>8</v>
      </c>
      <c r="F11" s="7" t="inlineStr">
        <is>
          <t>Антон Руль</t>
        </is>
      </c>
      <c r="G11" s="9" t="inlineStr"/>
    </row>
    <row r="12" ht="18" customHeight="1">
      <c r="A12" s="10" t="inlineStr">
        <is>
          <t>1.8</t>
        </is>
      </c>
      <c r="B12" s="10" t="inlineStr">
        <is>
          <t>Проработка и согласование тележки под автономный транспортный робот</t>
        </is>
      </c>
      <c r="C12" s="11" t="n">
        <v>46135</v>
      </c>
      <c r="D12" s="11" t="n">
        <v>46157</v>
      </c>
      <c r="E12" s="12" t="n">
        <v>22</v>
      </c>
      <c r="F12" s="10" t="inlineStr">
        <is>
          <t>Андрей Соколов</t>
        </is>
      </c>
      <c r="G12" s="12" t="inlineStr"/>
    </row>
    <row r="13" ht="18" customHeight="1">
      <c r="A13" s="7" t="inlineStr">
        <is>
          <t>1.9</t>
        </is>
      </c>
      <c r="B13" s="7" t="inlineStr">
        <is>
          <t>Подготовка и согласование устава проекта</t>
        </is>
      </c>
      <c r="C13" s="8" t="n">
        <v>46133</v>
      </c>
      <c r="D13" s="8" t="n">
        <v>46154</v>
      </c>
      <c r="E13" s="9" t="n">
        <v>21</v>
      </c>
      <c r="F13" s="7" t="inlineStr">
        <is>
          <t>Даниил Солнцев</t>
        </is>
      </c>
      <c r="G13" s="9" t="inlineStr"/>
    </row>
    <row r="14" ht="18" customHeight="1">
      <c r="A14" s="10" t="inlineStr">
        <is>
          <t>1.10</t>
        </is>
      </c>
      <c r="B14" s="10" t="inlineStr">
        <is>
          <t>Проработка альтернативной логистики</t>
        </is>
      </c>
      <c r="C14" s="11" t="n">
        <v>46140</v>
      </c>
      <c r="D14" s="11" t="n">
        <v>46157</v>
      </c>
      <c r="E14" s="12" t="n">
        <v>17</v>
      </c>
      <c r="F14" s="10" t="inlineStr">
        <is>
          <t>Андрей Соколов</t>
        </is>
      </c>
      <c r="G14" s="12" t="inlineStr"/>
    </row>
    <row r="15" ht="18" customHeight="1">
      <c r="A15" s="7" t="inlineStr">
        <is>
          <t>1.11</t>
        </is>
      </c>
      <c r="B15" s="7" t="inlineStr">
        <is>
          <t>Финализация план-графика проекта</t>
        </is>
      </c>
      <c r="C15" s="8" t="n">
        <v>46160</v>
      </c>
      <c r="D15" s="8" t="n">
        <v>46164</v>
      </c>
      <c r="E15" s="9" t="n">
        <v>4</v>
      </c>
      <c r="F15" s="7" t="inlineStr">
        <is>
          <t>Андрей Соколов</t>
        </is>
      </c>
      <c r="G15" s="9" t="inlineStr"/>
    </row>
    <row r="16" ht="22" customHeight="1">
      <c r="A16" s="4" t="inlineStr">
        <is>
          <t>Этап 2</t>
        </is>
      </c>
      <c r="B16" s="4" t="inlineStr">
        <is>
          <t>Производство оборудования</t>
        </is>
      </c>
      <c r="C16" s="5" t="n">
        <v>46146</v>
      </c>
      <c r="D16" s="5" t="n">
        <v>46188</v>
      </c>
      <c r="E16" s="6" t="n">
        <v>42</v>
      </c>
      <c r="F16" s="4" t="inlineStr">
        <is>
          <t>Алексей Матюшкин</t>
        </is>
      </c>
      <c r="G16" s="4" t="inlineStr">
        <is>
          <t>М2</t>
        </is>
      </c>
    </row>
    <row r="17" ht="18" customHeight="1">
      <c r="A17" s="10" t="inlineStr">
        <is>
          <t>2.1</t>
        </is>
      </c>
      <c r="B17" s="10" t="inlineStr">
        <is>
          <t>Оплата производственного заказа</t>
        </is>
      </c>
      <c r="C17" s="11" t="n">
        <v>46146</v>
      </c>
      <c r="D17" s="11" t="n">
        <v>46148</v>
      </c>
      <c r="E17" s="12" t="n">
        <v>2</v>
      </c>
      <c r="F17" s="10" t="inlineStr">
        <is>
          <t>Даниил Солнцев</t>
        </is>
      </c>
      <c r="G17" s="12" t="inlineStr"/>
    </row>
    <row r="18" ht="18" customHeight="1">
      <c r="A18" s="7" t="inlineStr">
        <is>
          <t>2.2</t>
        </is>
      </c>
      <c r="B18" s="7" t="inlineStr">
        <is>
          <t>Производственный цикл (5 роботов и 3 зарядные станции)</t>
        </is>
      </c>
      <c r="C18" s="8" t="n">
        <v>46148</v>
      </c>
      <c r="D18" s="8" t="n">
        <v>46185</v>
      </c>
      <c r="E18" s="9" t="n">
        <v>37</v>
      </c>
      <c r="F18" s="7" t="inlineStr">
        <is>
          <t>Алексей Матюшкин</t>
        </is>
      </c>
      <c r="G18" s="9" t="inlineStr"/>
    </row>
    <row r="19" ht="18" customHeight="1">
      <c r="A19" s="10" t="inlineStr">
        <is>
          <t>2.3</t>
        </is>
      </c>
      <c r="B19" s="10" t="inlineStr">
        <is>
          <t>Заводские приёмо-сдаточные испытания</t>
        </is>
      </c>
      <c r="C19" s="11" t="n">
        <v>46181</v>
      </c>
      <c r="D19" s="11" t="n">
        <v>46188</v>
      </c>
      <c r="E19" s="12" t="n">
        <v>7</v>
      </c>
      <c r="F19" s="10" t="inlineStr">
        <is>
          <t>Алексей Матюшкин</t>
        </is>
      </c>
      <c r="G19" s="12" t="inlineStr"/>
    </row>
    <row r="20" ht="18" customHeight="1">
      <c r="A20" s="7" t="inlineStr">
        <is>
          <t>2.4</t>
        </is>
      </c>
      <c r="B20" s="7" t="inlineStr">
        <is>
          <t>Подготовка отгрузочной документации</t>
        </is>
      </c>
      <c r="C20" s="8" t="n">
        <v>46185</v>
      </c>
      <c r="D20" s="8" t="n">
        <v>46188</v>
      </c>
      <c r="E20" s="9" t="n">
        <v>3</v>
      </c>
      <c r="F20" s="7" t="inlineStr">
        <is>
          <t>Алексей Матюшкин</t>
        </is>
      </c>
      <c r="G20" s="9" t="inlineStr"/>
    </row>
    <row r="21" ht="22" customHeight="1">
      <c r="A21" s="4" t="inlineStr">
        <is>
          <t>Этап 3</t>
        </is>
      </c>
      <c r="B21" s="4" t="inlineStr">
        <is>
          <t>Логистика и таможенное оформление</t>
        </is>
      </c>
      <c r="C21" s="5" t="n">
        <v>46188</v>
      </c>
      <c r="D21" s="5" t="n">
        <v>46205</v>
      </c>
      <c r="E21" s="6" t="n">
        <v>17</v>
      </c>
      <c r="F21" s="4" t="inlineStr">
        <is>
          <t>Андрей Соколов</t>
        </is>
      </c>
      <c r="G21" s="4" t="inlineStr">
        <is>
          <t>М3</t>
        </is>
      </c>
    </row>
    <row r="22" ht="18" customHeight="1">
      <c r="A22" s="10" t="inlineStr">
        <is>
          <t>3.1</t>
        </is>
      </c>
      <c r="B22" s="10" t="inlineStr">
        <is>
          <t>Подготовка отправки и оформление на авиатранспорт</t>
        </is>
      </c>
      <c r="C22" s="11" t="n">
        <v>46188</v>
      </c>
      <c r="D22" s="11" t="n">
        <v>46191</v>
      </c>
      <c r="E22" s="12" t="n">
        <v>3</v>
      </c>
      <c r="F22" s="10" t="inlineStr">
        <is>
          <t>Андрей Соколов</t>
        </is>
      </c>
      <c r="G22" s="12" t="inlineStr"/>
    </row>
    <row r="23" ht="18" customHeight="1">
      <c r="A23" s="7" t="inlineStr">
        <is>
          <t>3.2</t>
        </is>
      </c>
      <c r="B23" s="7" t="inlineStr">
        <is>
          <t>Авиаперевозка</t>
        </is>
      </c>
      <c r="C23" s="8" t="n">
        <v>46191</v>
      </c>
      <c r="D23" s="8" t="n">
        <v>46196</v>
      </c>
      <c r="E23" s="9" t="n">
        <v>5</v>
      </c>
      <c r="F23" s="7" t="inlineStr">
        <is>
          <t>Андрей Соколов</t>
        </is>
      </c>
      <c r="G23" s="9" t="inlineStr"/>
    </row>
    <row r="24" ht="18" customHeight="1">
      <c r="A24" s="10" t="inlineStr">
        <is>
          <t>3.3</t>
        </is>
      </c>
      <c r="B24" s="10" t="inlineStr">
        <is>
          <t>Таможенное оформление</t>
        </is>
      </c>
      <c r="C24" s="11" t="n">
        <v>46196</v>
      </c>
      <c r="D24" s="11" t="n">
        <v>46203</v>
      </c>
      <c r="E24" s="12" t="n">
        <v>7</v>
      </c>
      <c r="F24" s="10" t="inlineStr">
        <is>
          <t>Андрей Соколов</t>
        </is>
      </c>
      <c r="G24" s="12" t="inlineStr"/>
    </row>
    <row r="25" ht="18" customHeight="1">
      <c r="A25" s="7" t="inlineStr">
        <is>
          <t>3.4</t>
        </is>
      </c>
      <c r="B25" s="7" t="inlineStr">
        <is>
          <t>Доставка на площадку заказчика</t>
        </is>
      </c>
      <c r="C25" s="8" t="n">
        <v>46203</v>
      </c>
      <c r="D25" s="8" t="n">
        <v>46205</v>
      </c>
      <c r="E25" s="9" t="n">
        <v>2</v>
      </c>
      <c r="F25" s="7" t="inlineStr">
        <is>
          <t>Андрей Соколов</t>
        </is>
      </c>
      <c r="G25" s="9" t="inlineStr"/>
    </row>
    <row r="26" ht="22" customHeight="1">
      <c r="A26" s="4" t="inlineStr">
        <is>
          <t>Этап 4</t>
        </is>
      </c>
      <c r="B26" s="4" t="inlineStr">
        <is>
          <t>Подготовка площадки заказчика</t>
        </is>
      </c>
      <c r="C26" s="5" t="n">
        <v>46153</v>
      </c>
      <c r="D26" s="5" t="n">
        <v>46199</v>
      </c>
      <c r="E26" s="6" t="n">
        <v>46</v>
      </c>
      <c r="F26" s="4" t="inlineStr">
        <is>
          <t>Заказчик</t>
        </is>
      </c>
      <c r="G26" s="4" t="inlineStr">
        <is>
          <t>М4</t>
        </is>
      </c>
    </row>
    <row r="27" ht="18" customHeight="1">
      <c r="A27" s="10" t="inlineStr">
        <is>
          <t>4.1</t>
        </is>
      </c>
      <c r="B27" s="10" t="inlineStr">
        <is>
          <t>Электротехнические работы под зарядные станции</t>
        </is>
      </c>
      <c r="C27" s="11" t="n">
        <v>46153</v>
      </c>
      <c r="D27" s="11" t="n">
        <v>46192</v>
      </c>
      <c r="E27" s="12" t="n">
        <v>39</v>
      </c>
      <c r="F27" s="10" t="inlineStr">
        <is>
          <t>Заказчик: гл. энергетик</t>
        </is>
      </c>
      <c r="G27" s="12" t="inlineStr"/>
    </row>
    <row r="28" ht="18" customHeight="1">
      <c r="A28" s="7" t="inlineStr">
        <is>
          <t>4.2</t>
        </is>
      </c>
      <c r="B28" s="7" t="inlineStr">
        <is>
          <t>Подготовка сетевой инфраструктуры (ВМ, VLAN, межсетевое экранирование)</t>
        </is>
      </c>
      <c r="C28" s="8" t="n">
        <v>46153</v>
      </c>
      <c r="D28" s="8" t="n">
        <v>46192</v>
      </c>
      <c r="E28" s="9" t="n">
        <v>39</v>
      </c>
      <c r="F28" s="7" t="inlineStr">
        <is>
          <t>Заказчик: ИТ-инфраструктура</t>
        </is>
      </c>
      <c r="G28" s="9" t="inlineStr"/>
    </row>
    <row r="29" ht="18" customHeight="1">
      <c r="A29" s="10" t="inlineStr">
        <is>
          <t>4.3</t>
        </is>
      </c>
      <c r="B29" s="10" t="inlineStr">
        <is>
          <t>Беспроводная сеть в зонах работы (Wi-Fi, радиоплан)</t>
        </is>
      </c>
      <c r="C29" s="11" t="n">
        <v>46153</v>
      </c>
      <c r="D29" s="11" t="n">
        <v>46192</v>
      </c>
      <c r="E29" s="12" t="n">
        <v>39</v>
      </c>
      <c r="F29" s="10" t="inlineStr">
        <is>
          <t>Заказчик: сетевые инженеры</t>
        </is>
      </c>
      <c r="G29" s="12" t="inlineStr"/>
    </row>
    <row r="30" ht="18" customHeight="1">
      <c r="A30" s="7" t="inlineStr">
        <is>
          <t>4.4</t>
        </is>
      </c>
      <c r="B30" s="7" t="inlineStr">
        <is>
          <t>Согласование маршрутов, точек REST, зон зарядки</t>
        </is>
      </c>
      <c r="C30" s="8" t="n">
        <v>46160</v>
      </c>
      <c r="D30" s="8" t="n">
        <v>46185</v>
      </c>
      <c r="E30" s="9" t="n">
        <v>25</v>
      </c>
      <c r="F30" s="7" t="inlineStr">
        <is>
          <t>Заказчик: технология/ОТ/диспетчер</t>
        </is>
      </c>
      <c r="G30" s="9" t="inlineStr"/>
    </row>
    <row r="31" ht="18" customHeight="1">
      <c r="A31" s="10" t="inlineStr">
        <is>
          <t>4.5</t>
        </is>
      </c>
      <c r="B31" s="10" t="inlineStr">
        <is>
          <t>Выдача доступов команде Automacon</t>
        </is>
      </c>
      <c r="C31" s="11" t="n">
        <v>46153</v>
      </c>
      <c r="D31" s="11" t="n">
        <v>46164</v>
      </c>
      <c r="E31" s="12" t="n">
        <v>11</v>
      </c>
      <c r="F31" s="10" t="inlineStr">
        <is>
          <t>Заказчик: ИТ</t>
        </is>
      </c>
      <c r="G31" s="12" t="inlineStr"/>
    </row>
    <row r="32" ht="18" customHeight="1">
      <c r="A32" s="7" t="inlineStr">
        <is>
          <t>4.6</t>
        </is>
      </c>
      <c r="B32" s="7" t="inlineStr">
        <is>
          <t>Подготовка зон работы (чистота, разметка)</t>
        </is>
      </c>
      <c r="C32" s="8" t="n">
        <v>46167</v>
      </c>
      <c r="D32" s="8" t="n">
        <v>46199</v>
      </c>
      <c r="E32" s="9" t="n">
        <v>32</v>
      </c>
      <c r="F32" s="7" t="inlineStr">
        <is>
          <t>Заказчик: эксплуатация участка</t>
        </is>
      </c>
      <c r="G32" s="9" t="inlineStr"/>
    </row>
    <row r="33" ht="18" customHeight="1">
      <c r="A33" s="10" t="inlineStr">
        <is>
          <t>4.7</t>
        </is>
      </c>
      <c r="B33" s="10" t="inlineStr">
        <is>
          <t>Согласование ИБ-регламентов, технологические учётные записи</t>
        </is>
      </c>
      <c r="C33" s="11" t="n">
        <v>46160</v>
      </c>
      <c r="D33" s="11" t="n">
        <v>46192</v>
      </c>
      <c r="E33" s="12" t="n">
        <v>32</v>
      </c>
      <c r="F33" s="10" t="inlineStr">
        <is>
          <t>Заказчик: ИБ</t>
        </is>
      </c>
      <c r="G33" s="12" t="inlineStr"/>
    </row>
    <row r="34" ht="22" customHeight="1">
      <c r="A34" s="4" t="inlineStr">
        <is>
          <t>Этап 5</t>
        </is>
      </c>
      <c r="B34" s="4" t="inlineStr">
        <is>
          <t>Развёртывание серверной части WCS</t>
        </is>
      </c>
      <c r="C34" s="5" t="n">
        <v>46164</v>
      </c>
      <c r="D34" s="5" t="n">
        <v>46206</v>
      </c>
      <c r="E34" s="6" t="n">
        <v>42</v>
      </c>
      <c r="F34" s="4" t="inlineStr">
        <is>
          <t>Антон Руль</t>
        </is>
      </c>
      <c r="G34" s="4" t="inlineStr">
        <is>
          <t>М5</t>
        </is>
      </c>
    </row>
    <row r="35" ht="18" customHeight="1">
      <c r="A35" s="7" t="inlineStr">
        <is>
          <t>5.1</t>
        </is>
      </c>
      <c r="B35" s="7" t="inlineStr">
        <is>
          <t>Получение виртуальных машин и сетевых доступов</t>
        </is>
      </c>
      <c r="C35" s="8" t="n">
        <v>46164</v>
      </c>
      <c r="D35" s="8" t="n">
        <v>46171</v>
      </c>
      <c r="E35" s="9" t="n">
        <v>7</v>
      </c>
      <c r="F35" s="7" t="inlineStr">
        <is>
          <t>Антон Руль</t>
        </is>
      </c>
      <c r="G35" s="9" t="inlineStr"/>
    </row>
    <row r="36" ht="18" customHeight="1">
      <c r="A36" s="10" t="inlineStr">
        <is>
          <t>5.2</t>
        </is>
      </c>
      <c r="B36" s="10" t="inlineStr">
        <is>
          <t>Установка платформы в тестовом контуре, базовая настройка</t>
        </is>
      </c>
      <c r="C36" s="11" t="n">
        <v>46171</v>
      </c>
      <c r="D36" s="11" t="n">
        <v>46178</v>
      </c>
      <c r="E36" s="12" t="n">
        <v>7</v>
      </c>
      <c r="F36" s="10" t="inlineStr">
        <is>
          <t>Антон Руль</t>
        </is>
      </c>
      <c r="G36" s="12" t="inlineStr"/>
    </row>
    <row r="37" ht="18" customHeight="1">
      <c r="A37" s="7" t="inlineStr">
        <is>
          <t>5.3</t>
        </is>
      </c>
      <c r="B37" s="7" t="inlineStr">
        <is>
          <t>Интеграция с корпоративной аутентификацией, ролевая модель</t>
        </is>
      </c>
      <c r="C37" s="8" t="n">
        <v>46178</v>
      </c>
      <c r="D37" s="8" t="n">
        <v>46185</v>
      </c>
      <c r="E37" s="9" t="n">
        <v>7</v>
      </c>
      <c r="F37" s="7" t="inlineStr">
        <is>
          <t>Антон Руль</t>
        </is>
      </c>
      <c r="G37" s="9" t="inlineStr"/>
    </row>
    <row r="38" ht="18" customHeight="1">
      <c r="A38" s="10" t="inlineStr">
        <is>
          <t>5.4</t>
        </is>
      </c>
      <c r="B38" s="10" t="inlineStr">
        <is>
          <t>Интеграция с WMS Axelot — реализация коннектора</t>
        </is>
      </c>
      <c r="C38" s="11" t="n">
        <v>46178</v>
      </c>
      <c r="D38" s="11" t="n">
        <v>46199</v>
      </c>
      <c r="E38" s="12" t="n">
        <v>21</v>
      </c>
      <c r="F38" s="10" t="inlineStr">
        <is>
          <t>Антон Руль</t>
        </is>
      </c>
      <c r="G38" s="12" t="inlineStr"/>
    </row>
    <row r="39" ht="18" customHeight="1">
      <c r="A39" s="7" t="inlineStr">
        <is>
          <t>5.5</t>
        </is>
      </c>
      <c r="B39" s="7" t="inlineStr">
        <is>
          <t>Развёртывание контура мониторинга</t>
        </is>
      </c>
      <c r="C39" s="8" t="n">
        <v>46185</v>
      </c>
      <c r="D39" s="8" t="n">
        <v>46199</v>
      </c>
      <c r="E39" s="9" t="n">
        <v>14</v>
      </c>
      <c r="F39" s="7" t="inlineStr">
        <is>
          <t>Антон Руль</t>
        </is>
      </c>
      <c r="G39" s="9" t="inlineStr"/>
    </row>
    <row r="40" ht="18" customHeight="1">
      <c r="A40" s="10" t="inlineStr">
        <is>
          <t>5.6</t>
        </is>
      </c>
      <c r="B40" s="10" t="inlineStr">
        <is>
          <t>Установка платформы в промышленном контуре, регрессионная проверка</t>
        </is>
      </c>
      <c r="C40" s="11" t="n">
        <v>46199</v>
      </c>
      <c r="D40" s="11" t="n">
        <v>46206</v>
      </c>
      <c r="E40" s="12" t="n">
        <v>7</v>
      </c>
      <c r="F40" s="10" t="inlineStr">
        <is>
          <t>Антон Руль</t>
        </is>
      </c>
      <c r="G40" s="12" t="inlineStr"/>
    </row>
    <row r="41" ht="18" customHeight="1">
      <c r="A41" s="7" t="inlineStr">
        <is>
          <t>5.7</t>
        </is>
      </c>
      <c r="B41" s="7" t="inlineStr">
        <is>
          <t>Подготовка к приёмке роботов: справочники, шаблоны устройств</t>
        </is>
      </c>
      <c r="C41" s="8" t="n">
        <v>46199</v>
      </c>
      <c r="D41" s="8" t="n">
        <v>46206</v>
      </c>
      <c r="E41" s="9" t="n">
        <v>7</v>
      </c>
      <c r="F41" s="7" t="inlineStr">
        <is>
          <t>Антон Руль</t>
        </is>
      </c>
      <c r="G41" s="9" t="inlineStr"/>
    </row>
    <row r="42" ht="22" customHeight="1">
      <c r="A42" s="4" t="inlineStr">
        <is>
          <t>Этап 6</t>
        </is>
      </c>
      <c r="B42" s="4" t="inlineStr">
        <is>
          <t>Приёмка, калибровка и подключение оборудования</t>
        </is>
      </c>
      <c r="C42" s="5" t="n">
        <v>46205</v>
      </c>
      <c r="D42" s="5" t="n">
        <v>46227</v>
      </c>
      <c r="E42" s="6" t="n">
        <v>22</v>
      </c>
      <c r="F42" s="4" t="inlineStr">
        <is>
          <t>Андрей Соколов</t>
        </is>
      </c>
      <c r="G42" s="4" t="inlineStr">
        <is>
          <t>М6</t>
        </is>
      </c>
    </row>
    <row r="43" ht="18" customHeight="1">
      <c r="A43" s="10" t="inlineStr">
        <is>
          <t>6.1</t>
        </is>
      </c>
      <c r="B43" s="10" t="inlineStr">
        <is>
          <t>Распаковка, входной контроль, оформление приёмочных актов</t>
        </is>
      </c>
      <c r="C43" s="11" t="n">
        <v>46205</v>
      </c>
      <c r="D43" s="11" t="n">
        <v>46209</v>
      </c>
      <c r="E43" s="12" t="n">
        <v>4</v>
      </c>
      <c r="F43" s="10" t="inlineStr">
        <is>
          <t>Андрей Соколов</t>
        </is>
      </c>
      <c r="G43" s="12" t="inlineStr"/>
    </row>
    <row r="44" ht="18" customHeight="1">
      <c r="A44" s="7" t="inlineStr">
        <is>
          <t>6.2</t>
        </is>
      </c>
      <c r="B44" s="7" t="inlineStr">
        <is>
          <t>Монтаж и пусконаладка зарядных станций</t>
        </is>
      </c>
      <c r="C44" s="8" t="n">
        <v>46209</v>
      </c>
      <c r="D44" s="8" t="n">
        <v>46216</v>
      </c>
      <c r="E44" s="9" t="n">
        <v>7</v>
      </c>
      <c r="F44" s="7" t="inlineStr">
        <is>
          <t>Алексей Матюшкин</t>
        </is>
      </c>
      <c r="G44" s="9" t="inlineStr"/>
    </row>
    <row r="45" ht="18" customHeight="1">
      <c r="A45" s="10" t="inlineStr">
        <is>
          <t>6.3</t>
        </is>
      </c>
      <c r="B45" s="10" t="inlineStr">
        <is>
          <t>Первичная настройка и калибровка роботов</t>
        </is>
      </c>
      <c r="C45" s="11" t="n">
        <v>46209</v>
      </c>
      <c r="D45" s="11" t="n">
        <v>46227</v>
      </c>
      <c r="E45" s="12" t="n">
        <v>18</v>
      </c>
      <c r="F45" s="10" t="inlineStr">
        <is>
          <t>Алексей Матюшкин</t>
        </is>
      </c>
      <c r="G45" s="12" t="inlineStr"/>
    </row>
    <row r="46" ht="18" customHeight="1">
      <c r="A46" s="7" t="inlineStr">
        <is>
          <t>6.4</t>
        </is>
      </c>
      <c r="B46" s="7" t="inlineStr">
        <is>
          <t>Регистрация роботов в WCS, технологические учётные записи</t>
        </is>
      </c>
      <c r="C46" s="8" t="n">
        <v>46216</v>
      </c>
      <c r="D46" s="8" t="n">
        <v>46227</v>
      </c>
      <c r="E46" s="9" t="n">
        <v>11</v>
      </c>
      <c r="F46" s="7" t="inlineStr">
        <is>
          <t>Антон Руль</t>
        </is>
      </c>
      <c r="G46" s="9" t="inlineStr"/>
    </row>
    <row r="47" ht="18" customHeight="1">
      <c r="A47" s="10" t="inlineStr">
        <is>
          <t>6.5</t>
        </is>
      </c>
      <c r="B47" s="10" t="inlineStr">
        <is>
          <t>Подключение периферии к WCS</t>
        </is>
      </c>
      <c r="C47" s="11" t="n">
        <v>46216</v>
      </c>
      <c r="D47" s="11" t="n">
        <v>46227</v>
      </c>
      <c r="E47" s="12" t="n">
        <v>11</v>
      </c>
      <c r="F47" s="10" t="inlineStr">
        <is>
          <t>Антон Руль</t>
        </is>
      </c>
      <c r="G47" s="12" t="inlineStr"/>
    </row>
    <row r="48" ht="18" customHeight="1">
      <c r="A48" s="7" t="inlineStr">
        <is>
          <t>6.6</t>
        </is>
      </c>
      <c r="B48" s="7" t="inlineStr">
        <is>
          <t>Проверки безопасности (аварийный останов, режимы)</t>
        </is>
      </c>
      <c r="C48" s="8" t="n">
        <v>46223</v>
      </c>
      <c r="D48" s="8" t="n">
        <v>46227</v>
      </c>
      <c r="E48" s="9" t="n">
        <v>4</v>
      </c>
      <c r="F48" s="7" t="inlineStr">
        <is>
          <t>Алексей Матюшкин</t>
        </is>
      </c>
      <c r="G48" s="9" t="inlineStr"/>
    </row>
    <row r="49" ht="22" customHeight="1">
      <c r="A49" s="4" t="inlineStr">
        <is>
          <t>Этап 7</t>
        </is>
      </c>
      <c r="B49" s="4" t="inlineStr">
        <is>
          <t>Картография</t>
        </is>
      </c>
      <c r="C49" s="5" t="n">
        <v>46227</v>
      </c>
      <c r="D49" s="5" t="n">
        <v>46234</v>
      </c>
      <c r="E49" s="6" t="n">
        <v>7</v>
      </c>
      <c r="F49" s="4" t="inlineStr">
        <is>
          <t>Команда пусконаладки</t>
        </is>
      </c>
      <c r="G49" s="4" t="inlineStr">
        <is>
          <t>М7</t>
        </is>
      </c>
    </row>
    <row r="50" ht="18" customHeight="1">
      <c r="A50" s="10" t="inlineStr">
        <is>
          <t>7.1</t>
        </is>
      </c>
      <c r="B50" s="10" t="inlineStr">
        <is>
          <t>Лидарное сканирование зон работы</t>
        </is>
      </c>
      <c r="C50" s="11" t="n">
        <v>46227</v>
      </c>
      <c r="D50" s="11" t="n">
        <v>46230</v>
      </c>
      <c r="E50" s="12" t="n">
        <v>3</v>
      </c>
      <c r="F50" s="10" t="inlineStr">
        <is>
          <t>Команда пусконаладки</t>
        </is>
      </c>
      <c r="G50" s="12" t="inlineStr"/>
    </row>
    <row r="51" ht="18" customHeight="1">
      <c r="A51" s="7" t="inlineStr">
        <is>
          <t>7.2</t>
        </is>
      </c>
      <c r="B51" s="7" t="inlineStr">
        <is>
          <t>Подготовка карты в формате LIF</t>
        </is>
      </c>
      <c r="C51" s="8" t="n">
        <v>46230</v>
      </c>
      <c r="D51" s="8" t="n">
        <v>46233</v>
      </c>
      <c r="E51" s="9" t="n">
        <v>3</v>
      </c>
      <c r="F51" s="7" t="inlineStr">
        <is>
          <t>Команда пусконаладки</t>
        </is>
      </c>
      <c r="G51" s="9" t="inlineStr"/>
    </row>
    <row r="52" ht="18" customHeight="1">
      <c r="A52" s="10" t="inlineStr">
        <is>
          <t>7.3</t>
        </is>
      </c>
      <c r="B52" s="10" t="inlineStr">
        <is>
          <t>Валидация графа, согласование с технологией и ОТ</t>
        </is>
      </c>
      <c r="C52" s="11" t="n">
        <v>46233</v>
      </c>
      <c r="D52" s="11" t="n">
        <v>46234</v>
      </c>
      <c r="E52" s="12" t="n">
        <v>1</v>
      </c>
      <c r="F52" s="10" t="inlineStr">
        <is>
          <t>Андрей Соколов</t>
        </is>
      </c>
      <c r="G52" s="12" t="inlineStr"/>
    </row>
    <row r="53" ht="18" customHeight="1">
      <c r="A53" s="7" t="inlineStr">
        <is>
          <t>7.4</t>
        </is>
      </c>
      <c r="B53" s="7" t="inlineStr">
        <is>
          <t>Загрузка карты в WCS, контрольный прогон роботов</t>
        </is>
      </c>
      <c r="C53" s="8" t="n">
        <v>46233</v>
      </c>
      <c r="D53" s="8" t="n">
        <v>46234</v>
      </c>
      <c r="E53" s="9" t="n">
        <v>1</v>
      </c>
      <c r="F53" s="7" t="inlineStr">
        <is>
          <t>Антон Руль</t>
        </is>
      </c>
      <c r="G53" s="9" t="inlineStr"/>
    </row>
    <row r="54" ht="22" customHeight="1">
      <c r="A54" s="4" t="inlineStr">
        <is>
          <t>Этап 8</t>
        </is>
      </c>
      <c r="B54" s="4" t="inlineStr">
        <is>
          <t>Отладка сценариев и обучение персонала</t>
        </is>
      </c>
      <c r="C54" s="5" t="n">
        <v>46234</v>
      </c>
      <c r="D54" s="5" t="n">
        <v>46262</v>
      </c>
      <c r="E54" s="6" t="n">
        <v>28</v>
      </c>
      <c r="F54" s="4" t="inlineStr">
        <is>
          <t>Андрей Соколов</t>
        </is>
      </c>
      <c r="G54" s="4" t="inlineStr">
        <is>
          <t>М8</t>
        </is>
      </c>
    </row>
    <row r="55" ht="18" customHeight="1">
      <c r="A55" s="10" t="inlineStr">
        <is>
          <t>8.1</t>
        </is>
      </c>
      <c r="B55" s="10" t="inlineStr">
        <is>
          <t>Поочередная отладка сценариев работы парка</t>
        </is>
      </c>
      <c r="C55" s="11" t="n">
        <v>46234</v>
      </c>
      <c r="D55" s="11" t="n">
        <v>46255</v>
      </c>
      <c r="E55" s="12" t="n">
        <v>21</v>
      </c>
      <c r="F55" s="10" t="inlineStr">
        <is>
          <t>Андрей Соколов</t>
        </is>
      </c>
      <c r="G55" s="12" t="inlineStr"/>
    </row>
    <row r="56" ht="18" customHeight="1">
      <c r="A56" s="7" t="inlineStr">
        <is>
          <t>8.2</t>
        </is>
      </c>
      <c r="B56" s="7" t="inlineStr">
        <is>
          <t>Тестирование точек погрузки и разгрузки, точность позиционирования</t>
        </is>
      </c>
      <c r="C56" s="8" t="n">
        <v>46244</v>
      </c>
      <c r="D56" s="8" t="n">
        <v>46258</v>
      </c>
      <c r="E56" s="9" t="n">
        <v>14</v>
      </c>
      <c r="F56" s="7" t="inlineStr">
        <is>
          <t>Андрей Соколов</t>
        </is>
      </c>
      <c r="G56" s="9" t="inlineStr"/>
    </row>
    <row r="57" ht="18" customHeight="1">
      <c r="A57" s="10" t="inlineStr">
        <is>
          <t>8.3</t>
        </is>
      </c>
      <c r="B57" s="10" t="inlineStr">
        <is>
          <t>Тестирование сценариев исключений</t>
        </is>
      </c>
      <c r="C57" s="11" t="n">
        <v>46251</v>
      </c>
      <c r="D57" s="11" t="n">
        <v>46262</v>
      </c>
      <c r="E57" s="12" t="n">
        <v>11</v>
      </c>
      <c r="F57" s="10" t="inlineStr">
        <is>
          <t>Антон Руль</t>
        </is>
      </c>
      <c r="G57" s="12" t="inlineStr"/>
    </row>
    <row r="58" ht="18" customHeight="1">
      <c r="A58" s="7" t="inlineStr">
        <is>
          <t>8.4</t>
        </is>
      </c>
      <c r="B58" s="7" t="inlineStr">
        <is>
          <t>Обучение операторов и диспетчеров</t>
        </is>
      </c>
      <c r="C58" s="8" t="n">
        <v>46251</v>
      </c>
      <c r="D58" s="8" t="n">
        <v>46262</v>
      </c>
      <c r="E58" s="9" t="n">
        <v>11</v>
      </c>
      <c r="F58" s="7" t="inlineStr">
        <is>
          <t>Команда внедрения</t>
        </is>
      </c>
      <c r="G58" s="9" t="inlineStr"/>
    </row>
    <row r="59" ht="18" customHeight="1">
      <c r="A59" s="10" t="inlineStr">
        <is>
          <t>8.5</t>
        </is>
      </c>
      <c r="B59" s="10" t="inlineStr">
        <is>
          <t>Инструктажи под подпись (охрана труда)</t>
        </is>
      </c>
      <c r="C59" s="11" t="n">
        <v>46258</v>
      </c>
      <c r="D59" s="11" t="n">
        <v>46262</v>
      </c>
      <c r="E59" s="12" t="n">
        <v>4</v>
      </c>
      <c r="F59" s="10" t="inlineStr">
        <is>
          <t>Совместно с заказчиком</t>
        </is>
      </c>
      <c r="G59" s="12" t="inlineStr"/>
    </row>
    <row r="60" ht="18" customHeight="1">
      <c r="A60" s="7" t="inlineStr">
        <is>
          <t>8.6</t>
        </is>
      </c>
      <c r="B60" s="7" t="inlineStr">
        <is>
          <t>Передача эксплуатационной документации</t>
        </is>
      </c>
      <c r="C60" s="8" t="n">
        <v>46258</v>
      </c>
      <c r="D60" s="8" t="n">
        <v>46262</v>
      </c>
      <c r="E60" s="9" t="n">
        <v>4</v>
      </c>
      <c r="F60" s="7" t="inlineStr">
        <is>
          <t>Команда внедрения</t>
        </is>
      </c>
      <c r="G60" s="9" t="inlineStr"/>
    </row>
    <row r="61" ht="22" customHeight="1">
      <c r="A61" s="4" t="inlineStr">
        <is>
          <t>Этап 9</t>
        </is>
      </c>
      <c r="B61" s="4" t="inlineStr">
        <is>
          <t>Опытная эксплуатация</t>
        </is>
      </c>
      <c r="C61" s="5" t="n">
        <v>46265</v>
      </c>
      <c r="D61" s="5" t="n">
        <v>46278</v>
      </c>
      <c r="E61" s="6" t="n">
        <v>13</v>
      </c>
      <c r="F61" s="4" t="inlineStr">
        <is>
          <t>Андрей Соколов</t>
        </is>
      </c>
      <c r="G61" s="4" t="inlineStr">
        <is>
          <t>М9</t>
        </is>
      </c>
    </row>
    <row r="62" ht="18" customHeight="1">
      <c r="A62" s="10" t="inlineStr">
        <is>
          <t>9.1</t>
        </is>
      </c>
      <c r="B62" s="10" t="inlineStr">
        <is>
          <t>Запуск опытной эксплуатации, дежурство команды</t>
        </is>
      </c>
      <c r="C62" s="11" t="n">
        <v>46265</v>
      </c>
      <c r="D62" s="11" t="n">
        <v>46276</v>
      </c>
      <c r="E62" s="12" t="n">
        <v>11</v>
      </c>
      <c r="F62" s="10" t="inlineStr">
        <is>
          <t>Андрей Соколов</t>
        </is>
      </c>
      <c r="G62" s="12" t="inlineStr"/>
    </row>
    <row r="63" ht="18" customHeight="1">
      <c r="A63" s="7" t="inlineStr">
        <is>
          <t>9.2</t>
        </is>
      </c>
      <c r="B63" s="7" t="inlineStr">
        <is>
          <t>Журналирование инцидентов, ежедневный разбор</t>
        </is>
      </c>
      <c r="C63" s="8" t="n">
        <v>46265</v>
      </c>
      <c r="D63" s="8" t="n">
        <v>46278</v>
      </c>
      <c r="E63" s="9" t="n">
        <v>13</v>
      </c>
      <c r="F63" s="7" t="inlineStr">
        <is>
          <t>Андрей Соколов</t>
        </is>
      </c>
      <c r="G63" s="9" t="inlineStr"/>
    </row>
    <row r="64" ht="18" customHeight="1">
      <c r="A64" s="10" t="inlineStr">
        <is>
          <t>9.3</t>
        </is>
      </c>
      <c r="B64" s="10" t="inlineStr">
        <is>
          <t>Закрытие замечаний — корректировка сценариев и настроек</t>
        </is>
      </c>
      <c r="C64" s="11" t="n">
        <v>46268</v>
      </c>
      <c r="D64" s="11" t="n">
        <v>46278</v>
      </c>
      <c r="E64" s="12" t="n">
        <v>10</v>
      </c>
      <c r="F64" s="10" t="inlineStr">
        <is>
          <t>Антон Руль</t>
        </is>
      </c>
      <c r="G64" s="12" t="inlineStr"/>
    </row>
    <row r="65" ht="18" customHeight="1">
      <c r="A65" s="7" t="inlineStr">
        <is>
          <t>9.4</t>
        </is>
      </c>
      <c r="B65" s="7" t="inlineStr">
        <is>
          <t>Подведение итогов опытной эксплуатации с заказчиком</t>
        </is>
      </c>
      <c r="C65" s="8" t="n">
        <v>46276</v>
      </c>
      <c r="D65" s="8" t="n">
        <v>46278</v>
      </c>
      <c r="E65" s="9" t="n">
        <v>2</v>
      </c>
      <c r="F65" s="7" t="inlineStr">
        <is>
          <t>Андрей Соколов</t>
        </is>
      </c>
      <c r="G65" s="9" t="inlineStr"/>
    </row>
    <row r="66" ht="22" customHeight="1">
      <c r="A66" s="4" t="inlineStr">
        <is>
          <t>Этап 10</t>
        </is>
      </c>
      <c r="B66" s="4" t="inlineStr">
        <is>
          <t>ПСИ и передача в промышленную эксплуатацию</t>
        </is>
      </c>
      <c r="C66" s="5" t="n">
        <v>46279</v>
      </c>
      <c r="D66" s="5" t="n">
        <v>46292</v>
      </c>
      <c r="E66" s="6" t="n">
        <v>13</v>
      </c>
      <c r="F66" s="4" t="inlineStr">
        <is>
          <t>Даниил Солнцев</t>
        </is>
      </c>
      <c r="G66" s="4" t="inlineStr">
        <is>
          <t>М10</t>
        </is>
      </c>
    </row>
    <row r="67" ht="18" customHeight="1">
      <c r="A67" s="10" t="inlineStr">
        <is>
          <t>10.1</t>
        </is>
      </c>
      <c r="B67" s="10" t="inlineStr">
        <is>
          <t>Подготовка программы и методики ПСИ</t>
        </is>
      </c>
      <c r="C67" s="11" t="n">
        <v>46279</v>
      </c>
      <c r="D67" s="11" t="n">
        <v>46281</v>
      </c>
      <c r="E67" s="12" t="n">
        <v>2</v>
      </c>
      <c r="F67" s="10" t="inlineStr">
        <is>
          <t>Даниил Солнцев</t>
        </is>
      </c>
      <c r="G67" s="12" t="inlineStr"/>
    </row>
    <row r="68" ht="18" customHeight="1">
      <c r="A68" s="7" t="inlineStr">
        <is>
          <t>10.2</t>
        </is>
      </c>
      <c r="B68" s="7" t="inlineStr">
        <is>
          <t>Проведение ПСИ по согласованной программе</t>
        </is>
      </c>
      <c r="C68" s="8" t="n">
        <v>46281</v>
      </c>
      <c r="D68" s="8" t="n">
        <v>46288</v>
      </c>
      <c r="E68" s="9" t="n">
        <v>7</v>
      </c>
      <c r="F68" s="7" t="inlineStr">
        <is>
          <t>Даниил Солнцев</t>
        </is>
      </c>
      <c r="G68" s="9" t="inlineStr"/>
    </row>
    <row r="69" ht="18" customHeight="1">
      <c r="A69" s="10" t="inlineStr">
        <is>
          <t>10.3</t>
        </is>
      </c>
      <c r="B69" s="10" t="inlineStr">
        <is>
          <t>Подготовка и подписание акта приёмки</t>
        </is>
      </c>
      <c r="C69" s="11" t="n">
        <v>46288</v>
      </c>
      <c r="D69" s="11" t="n">
        <v>46290</v>
      </c>
      <c r="E69" s="12" t="n">
        <v>2</v>
      </c>
      <c r="F69" s="10" t="inlineStr">
        <is>
          <t>Даниил Солнцев</t>
        </is>
      </c>
      <c r="G69" s="12" t="inlineStr"/>
    </row>
    <row r="70" ht="18" customHeight="1">
      <c r="A70" s="7" t="inlineStr">
        <is>
          <t>10.4</t>
        </is>
      </c>
      <c r="B70" s="7" t="inlineStr">
        <is>
          <t>Передача на сопровождение, активация SLA</t>
        </is>
      </c>
      <c r="C70" s="8" t="n">
        <v>46290</v>
      </c>
      <c r="D70" s="8" t="n">
        <v>46292</v>
      </c>
      <c r="E70" s="9" t="n">
        <v>2</v>
      </c>
      <c r="F70" s="7" t="inlineStr">
        <is>
          <t>Команда сопровождения</t>
        </is>
      </c>
      <c r="G70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22" customWidth="1" min="3" max="3"/>
    <col width="22" customWidth="1" min="4" max="4"/>
    <col width="16" customWidth="1" min="5" max="5"/>
  </cols>
  <sheetData>
    <row r="1">
      <c r="A1" s="1" t="inlineStr">
        <is>
          <t>Диаграмма Ганта по задачам проекта</t>
        </is>
      </c>
    </row>
    <row r="2">
      <c r="A2" s="2" t="inlineStr">
        <is>
          <t>Источник данных — лист «План-график». Видимая полоса = длительность задачи.</t>
        </is>
      </c>
    </row>
    <row r="3" ht="28" customHeight="1">
      <c r="A3" s="3" t="inlineStr">
        <is>
          <t>№</t>
        </is>
      </c>
      <c r="B3" s="3" t="inlineStr">
        <is>
          <t>Задача</t>
        </is>
      </c>
      <c r="C3" s="3" t="inlineStr">
        <is>
          <t>Старт (смещение, дни)</t>
        </is>
      </c>
      <c r="D3" s="3" t="inlineStr">
        <is>
          <t>Длительность (дни)</t>
        </is>
      </c>
      <c r="E3" s="3" t="inlineStr">
        <is>
          <t>Дата начала</t>
        </is>
      </c>
    </row>
    <row r="4">
      <c r="A4" s="12" t="inlineStr">
        <is>
          <t>1.1</t>
        </is>
      </c>
      <c r="B4" s="10" t="inlineStr">
        <is>
          <t>Получение ответов от подразделения «Охрана труда»</t>
        </is>
      </c>
      <c r="C4" s="12" t="n">
        <v>9</v>
      </c>
      <c r="D4" s="12" t="n">
        <v>12</v>
      </c>
      <c r="E4" s="11" t="n">
        <v>46142</v>
      </c>
    </row>
    <row r="5">
      <c r="A5" s="9" t="inlineStr">
        <is>
          <t>1.2</t>
        </is>
      </c>
      <c r="B5" s="7" t="inlineStr">
        <is>
          <t>Получение ответов от подразделения «ИТ»</t>
        </is>
      </c>
      <c r="C5" s="9" t="n">
        <v>9</v>
      </c>
      <c r="D5" s="9" t="n">
        <v>12</v>
      </c>
      <c r="E5" s="8" t="n">
        <v>46142</v>
      </c>
    </row>
    <row r="6">
      <c r="A6" s="12" t="inlineStr">
        <is>
          <t>1.3</t>
        </is>
      </c>
      <c r="B6" s="10" t="inlineStr">
        <is>
          <t>Получение ответов от подразделения «Информационная безопасность»</t>
        </is>
      </c>
      <c r="C6" s="12" t="n">
        <v>9</v>
      </c>
      <c r="D6" s="12" t="n">
        <v>15</v>
      </c>
      <c r="E6" s="11" t="n">
        <v>46142</v>
      </c>
    </row>
    <row r="7">
      <c r="A7" s="9" t="inlineStr">
        <is>
          <t>1.4</t>
        </is>
      </c>
      <c r="B7" s="7" t="inlineStr">
        <is>
          <t>Получение ответов от подразделения «Производственная логистика и WMS Axelot»</t>
        </is>
      </c>
      <c r="C7" s="9" t="n">
        <v>9</v>
      </c>
      <c r="D7" s="9" t="n">
        <v>12</v>
      </c>
      <c r="E7" s="8" t="n">
        <v>46142</v>
      </c>
    </row>
    <row r="8">
      <c r="A8" s="12" t="inlineStr">
        <is>
          <t>1.5</t>
        </is>
      </c>
      <c r="B8" s="10" t="inlineStr">
        <is>
          <t>Получение ответов от подразделения «Производственные участки»</t>
        </is>
      </c>
      <c r="C8" s="12" t="n">
        <v>9</v>
      </c>
      <c r="D8" s="12" t="n">
        <v>15</v>
      </c>
      <c r="E8" s="11" t="n">
        <v>46142</v>
      </c>
    </row>
    <row r="9">
      <c r="A9" s="9" t="inlineStr">
        <is>
          <t>1.6</t>
        </is>
      </c>
      <c r="B9" s="7" t="inlineStr">
        <is>
          <t>Финализация сценариев работы парка и технического задания</t>
        </is>
      </c>
      <c r="C9" s="9" t="n">
        <v>24</v>
      </c>
      <c r="D9" s="9" t="n">
        <v>7</v>
      </c>
      <c r="E9" s="8" t="n">
        <v>46157</v>
      </c>
    </row>
    <row r="10">
      <c r="A10" s="12" t="inlineStr">
        <is>
          <t>1.7</t>
        </is>
      </c>
      <c r="B10" s="10" t="inlineStr">
        <is>
          <t>Подготовка и передача документа «Требования к среде эксплуатации»</t>
        </is>
      </c>
      <c r="C10" s="12" t="n">
        <v>13</v>
      </c>
      <c r="D10" s="12" t="n">
        <v>8</v>
      </c>
      <c r="E10" s="11" t="n">
        <v>46146</v>
      </c>
    </row>
    <row r="11">
      <c r="A11" s="9" t="inlineStr">
        <is>
          <t>1.8</t>
        </is>
      </c>
      <c r="B11" s="7" t="inlineStr">
        <is>
          <t>Проработка и согласование тележки под автономный транспортный робот</t>
        </is>
      </c>
      <c r="C11" s="9" t="n">
        <v>2</v>
      </c>
      <c r="D11" s="9" t="n">
        <v>22</v>
      </c>
      <c r="E11" s="8" t="n">
        <v>46135</v>
      </c>
    </row>
    <row r="12">
      <c r="A12" s="12" t="inlineStr">
        <is>
          <t>1.9</t>
        </is>
      </c>
      <c r="B12" s="10" t="inlineStr">
        <is>
          <t>Подготовка и согласование устава проекта</t>
        </is>
      </c>
      <c r="C12" s="12" t="n">
        <v>0</v>
      </c>
      <c r="D12" s="12" t="n">
        <v>21</v>
      </c>
      <c r="E12" s="11" t="n">
        <v>46133</v>
      </c>
    </row>
    <row r="13">
      <c r="A13" s="9" t="inlineStr">
        <is>
          <t>1.10</t>
        </is>
      </c>
      <c r="B13" s="7" t="inlineStr">
        <is>
          <t>Проработка альтернативной логистики</t>
        </is>
      </c>
      <c r="C13" s="9" t="n">
        <v>7</v>
      </c>
      <c r="D13" s="9" t="n">
        <v>17</v>
      </c>
      <c r="E13" s="8" t="n">
        <v>46140</v>
      </c>
    </row>
    <row r="14">
      <c r="A14" s="12" t="inlineStr">
        <is>
          <t>1.11</t>
        </is>
      </c>
      <c r="B14" s="10" t="inlineStr">
        <is>
          <t>Финализация план-графика проекта</t>
        </is>
      </c>
      <c r="C14" s="12" t="n">
        <v>27</v>
      </c>
      <c r="D14" s="12" t="n">
        <v>4</v>
      </c>
      <c r="E14" s="11" t="n">
        <v>46160</v>
      </c>
    </row>
    <row r="15">
      <c r="A15" s="9" t="inlineStr">
        <is>
          <t>2.1</t>
        </is>
      </c>
      <c r="B15" s="7" t="inlineStr">
        <is>
          <t>Оплата производственного заказа</t>
        </is>
      </c>
      <c r="C15" s="9" t="n">
        <v>13</v>
      </c>
      <c r="D15" s="9" t="n">
        <v>2</v>
      </c>
      <c r="E15" s="8" t="n">
        <v>46146</v>
      </c>
    </row>
    <row r="16">
      <c r="A16" s="12" t="inlineStr">
        <is>
          <t>2.2</t>
        </is>
      </c>
      <c r="B16" s="10" t="inlineStr">
        <is>
          <t>Производственный цикл (5 роботов и 3 зарядные станции)</t>
        </is>
      </c>
      <c r="C16" s="12" t="n">
        <v>15</v>
      </c>
      <c r="D16" s="12" t="n">
        <v>37</v>
      </c>
      <c r="E16" s="11" t="n">
        <v>46148</v>
      </c>
    </row>
    <row r="17">
      <c r="A17" s="9" t="inlineStr">
        <is>
          <t>2.3</t>
        </is>
      </c>
      <c r="B17" s="7" t="inlineStr">
        <is>
          <t>Заводские приёмо-сдаточные испытания</t>
        </is>
      </c>
      <c r="C17" s="9" t="n">
        <v>48</v>
      </c>
      <c r="D17" s="9" t="n">
        <v>7</v>
      </c>
      <c r="E17" s="8" t="n">
        <v>46181</v>
      </c>
    </row>
    <row r="18">
      <c r="A18" s="12" t="inlineStr">
        <is>
          <t>2.4</t>
        </is>
      </c>
      <c r="B18" s="10" t="inlineStr">
        <is>
          <t>Подготовка отгрузочной документации</t>
        </is>
      </c>
      <c r="C18" s="12" t="n">
        <v>52</v>
      </c>
      <c r="D18" s="12" t="n">
        <v>3</v>
      </c>
      <c r="E18" s="11" t="n">
        <v>46185</v>
      </c>
    </row>
    <row r="19">
      <c r="A19" s="9" t="inlineStr">
        <is>
          <t>3.1</t>
        </is>
      </c>
      <c r="B19" s="7" t="inlineStr">
        <is>
          <t>Подготовка отправки и оформление на авиатранспорт</t>
        </is>
      </c>
      <c r="C19" s="9" t="n">
        <v>55</v>
      </c>
      <c r="D19" s="9" t="n">
        <v>3</v>
      </c>
      <c r="E19" s="8" t="n">
        <v>46188</v>
      </c>
    </row>
    <row r="20">
      <c r="A20" s="12" t="inlineStr">
        <is>
          <t>3.2</t>
        </is>
      </c>
      <c r="B20" s="10" t="inlineStr">
        <is>
          <t>Авиаперевозка</t>
        </is>
      </c>
      <c r="C20" s="12" t="n">
        <v>58</v>
      </c>
      <c r="D20" s="12" t="n">
        <v>5</v>
      </c>
      <c r="E20" s="11" t="n">
        <v>46191</v>
      </c>
    </row>
    <row r="21">
      <c r="A21" s="9" t="inlineStr">
        <is>
          <t>3.3</t>
        </is>
      </c>
      <c r="B21" s="7" t="inlineStr">
        <is>
          <t>Таможенное оформление</t>
        </is>
      </c>
      <c r="C21" s="9" t="n">
        <v>63</v>
      </c>
      <c r="D21" s="9" t="n">
        <v>7</v>
      </c>
      <c r="E21" s="8" t="n">
        <v>46196</v>
      </c>
    </row>
    <row r="22">
      <c r="A22" s="12" t="inlineStr">
        <is>
          <t>3.4</t>
        </is>
      </c>
      <c r="B22" s="10" t="inlineStr">
        <is>
          <t>Доставка на площадку заказчика</t>
        </is>
      </c>
      <c r="C22" s="12" t="n">
        <v>70</v>
      </c>
      <c r="D22" s="12" t="n">
        <v>2</v>
      </c>
      <c r="E22" s="11" t="n">
        <v>46203</v>
      </c>
    </row>
    <row r="23">
      <c r="A23" s="9" t="inlineStr">
        <is>
          <t>4.1</t>
        </is>
      </c>
      <c r="B23" s="7" t="inlineStr">
        <is>
          <t>Электротехнические работы под зарядные станции</t>
        </is>
      </c>
      <c r="C23" s="9" t="n">
        <v>20</v>
      </c>
      <c r="D23" s="9" t="n">
        <v>39</v>
      </c>
      <c r="E23" s="8" t="n">
        <v>46153</v>
      </c>
    </row>
    <row r="24">
      <c r="A24" s="12" t="inlineStr">
        <is>
          <t>4.2</t>
        </is>
      </c>
      <c r="B24" s="10" t="inlineStr">
        <is>
          <t>Подготовка сетевой инфраструктуры (ВМ, VLAN, межсетевое экранирование)</t>
        </is>
      </c>
      <c r="C24" s="12" t="n">
        <v>20</v>
      </c>
      <c r="D24" s="12" t="n">
        <v>39</v>
      </c>
      <c r="E24" s="11" t="n">
        <v>46153</v>
      </c>
    </row>
    <row r="25">
      <c r="A25" s="9" t="inlineStr">
        <is>
          <t>4.3</t>
        </is>
      </c>
      <c r="B25" s="7" t="inlineStr">
        <is>
          <t>Беспроводная сеть в зонах работы (Wi-Fi, радиоплан)</t>
        </is>
      </c>
      <c r="C25" s="9" t="n">
        <v>20</v>
      </c>
      <c r="D25" s="9" t="n">
        <v>39</v>
      </c>
      <c r="E25" s="8" t="n">
        <v>46153</v>
      </c>
    </row>
    <row r="26">
      <c r="A26" s="12" t="inlineStr">
        <is>
          <t>4.4</t>
        </is>
      </c>
      <c r="B26" s="10" t="inlineStr">
        <is>
          <t>Согласование маршрутов, точек REST, зон зарядки</t>
        </is>
      </c>
      <c r="C26" s="12" t="n">
        <v>27</v>
      </c>
      <c r="D26" s="12" t="n">
        <v>25</v>
      </c>
      <c r="E26" s="11" t="n">
        <v>46160</v>
      </c>
    </row>
    <row r="27">
      <c r="A27" s="9" t="inlineStr">
        <is>
          <t>4.5</t>
        </is>
      </c>
      <c r="B27" s="7" t="inlineStr">
        <is>
          <t>Выдача доступов команде Automacon</t>
        </is>
      </c>
      <c r="C27" s="9" t="n">
        <v>20</v>
      </c>
      <c r="D27" s="9" t="n">
        <v>11</v>
      </c>
      <c r="E27" s="8" t="n">
        <v>46153</v>
      </c>
    </row>
    <row r="28">
      <c r="A28" s="12" t="inlineStr">
        <is>
          <t>4.6</t>
        </is>
      </c>
      <c r="B28" s="10" t="inlineStr">
        <is>
          <t>Подготовка зон работы (чистота, разметка)</t>
        </is>
      </c>
      <c r="C28" s="12" t="n">
        <v>34</v>
      </c>
      <c r="D28" s="12" t="n">
        <v>32</v>
      </c>
      <c r="E28" s="11" t="n">
        <v>46167</v>
      </c>
    </row>
    <row r="29">
      <c r="A29" s="9" t="inlineStr">
        <is>
          <t>4.7</t>
        </is>
      </c>
      <c r="B29" s="7" t="inlineStr">
        <is>
          <t>Согласование ИБ-регламентов, технологические учётные записи</t>
        </is>
      </c>
      <c r="C29" s="9" t="n">
        <v>27</v>
      </c>
      <c r="D29" s="9" t="n">
        <v>32</v>
      </c>
      <c r="E29" s="8" t="n">
        <v>46160</v>
      </c>
    </row>
    <row r="30">
      <c r="A30" s="12" t="inlineStr">
        <is>
          <t>5.1</t>
        </is>
      </c>
      <c r="B30" s="10" t="inlineStr">
        <is>
          <t>Получение виртуальных машин и сетевых доступов</t>
        </is>
      </c>
      <c r="C30" s="12" t="n">
        <v>31</v>
      </c>
      <c r="D30" s="12" t="n">
        <v>7</v>
      </c>
      <c r="E30" s="11" t="n">
        <v>46164</v>
      </c>
    </row>
    <row r="31">
      <c r="A31" s="9" t="inlineStr">
        <is>
          <t>5.2</t>
        </is>
      </c>
      <c r="B31" s="7" t="inlineStr">
        <is>
          <t>Установка платформы в тестовом контуре, базовая настройка</t>
        </is>
      </c>
      <c r="C31" s="9" t="n">
        <v>38</v>
      </c>
      <c r="D31" s="9" t="n">
        <v>7</v>
      </c>
      <c r="E31" s="8" t="n">
        <v>46171</v>
      </c>
    </row>
    <row r="32">
      <c r="A32" s="12" t="inlineStr">
        <is>
          <t>5.3</t>
        </is>
      </c>
      <c r="B32" s="10" t="inlineStr">
        <is>
          <t>Интеграция с корпоративной аутентификацией, ролевая модель</t>
        </is>
      </c>
      <c r="C32" s="12" t="n">
        <v>45</v>
      </c>
      <c r="D32" s="12" t="n">
        <v>7</v>
      </c>
      <c r="E32" s="11" t="n">
        <v>46178</v>
      </c>
    </row>
    <row r="33">
      <c r="A33" s="9" t="inlineStr">
        <is>
          <t>5.4</t>
        </is>
      </c>
      <c r="B33" s="7" t="inlineStr">
        <is>
          <t>Интеграция с WMS Axelot — реализация коннектора</t>
        </is>
      </c>
      <c r="C33" s="9" t="n">
        <v>45</v>
      </c>
      <c r="D33" s="9" t="n">
        <v>21</v>
      </c>
      <c r="E33" s="8" t="n">
        <v>46178</v>
      </c>
    </row>
    <row r="34">
      <c r="A34" s="12" t="inlineStr">
        <is>
          <t>5.5</t>
        </is>
      </c>
      <c r="B34" s="10" t="inlineStr">
        <is>
          <t>Развёртывание контура мониторинга</t>
        </is>
      </c>
      <c r="C34" s="12" t="n">
        <v>52</v>
      </c>
      <c r="D34" s="12" t="n">
        <v>14</v>
      </c>
      <c r="E34" s="11" t="n">
        <v>46185</v>
      </c>
    </row>
    <row r="35">
      <c r="A35" s="9" t="inlineStr">
        <is>
          <t>5.6</t>
        </is>
      </c>
      <c r="B35" s="7" t="inlineStr">
        <is>
          <t>Установка платформы в промышленном контуре, регрессионная проверка</t>
        </is>
      </c>
      <c r="C35" s="9" t="n">
        <v>66</v>
      </c>
      <c r="D35" s="9" t="n">
        <v>7</v>
      </c>
      <c r="E35" s="8" t="n">
        <v>46199</v>
      </c>
    </row>
    <row r="36">
      <c r="A36" s="12" t="inlineStr">
        <is>
          <t>5.7</t>
        </is>
      </c>
      <c r="B36" s="10" t="inlineStr">
        <is>
          <t>Подготовка к приёмке роботов: справочники, шаблоны устройств</t>
        </is>
      </c>
      <c r="C36" s="12" t="n">
        <v>66</v>
      </c>
      <c r="D36" s="12" t="n">
        <v>7</v>
      </c>
      <c r="E36" s="11" t="n">
        <v>46199</v>
      </c>
    </row>
    <row r="37">
      <c r="A37" s="9" t="inlineStr">
        <is>
          <t>6.1</t>
        </is>
      </c>
      <c r="B37" s="7" t="inlineStr">
        <is>
          <t>Распаковка, входной контроль, оформление приёмочных актов</t>
        </is>
      </c>
      <c r="C37" s="9" t="n">
        <v>72</v>
      </c>
      <c r="D37" s="9" t="n">
        <v>4</v>
      </c>
      <c r="E37" s="8" t="n">
        <v>46205</v>
      </c>
    </row>
    <row r="38">
      <c r="A38" s="12" t="inlineStr">
        <is>
          <t>6.2</t>
        </is>
      </c>
      <c r="B38" s="10" t="inlineStr">
        <is>
          <t>Монтаж и пусконаладка зарядных станций</t>
        </is>
      </c>
      <c r="C38" s="12" t="n">
        <v>76</v>
      </c>
      <c r="D38" s="12" t="n">
        <v>7</v>
      </c>
      <c r="E38" s="11" t="n">
        <v>46209</v>
      </c>
    </row>
    <row r="39">
      <c r="A39" s="9" t="inlineStr">
        <is>
          <t>6.3</t>
        </is>
      </c>
      <c r="B39" s="7" t="inlineStr">
        <is>
          <t>Первичная настройка и калибровка роботов</t>
        </is>
      </c>
      <c r="C39" s="9" t="n">
        <v>76</v>
      </c>
      <c r="D39" s="9" t="n">
        <v>18</v>
      </c>
      <c r="E39" s="8" t="n">
        <v>46209</v>
      </c>
    </row>
    <row r="40">
      <c r="A40" s="12" t="inlineStr">
        <is>
          <t>6.4</t>
        </is>
      </c>
      <c r="B40" s="10" t="inlineStr">
        <is>
          <t>Регистрация роботов в WCS, технологические учётные записи</t>
        </is>
      </c>
      <c r="C40" s="12" t="n">
        <v>83</v>
      </c>
      <c r="D40" s="12" t="n">
        <v>11</v>
      </c>
      <c r="E40" s="11" t="n">
        <v>46216</v>
      </c>
    </row>
    <row r="41">
      <c r="A41" s="9" t="inlineStr">
        <is>
          <t>6.5</t>
        </is>
      </c>
      <c r="B41" s="7" t="inlineStr">
        <is>
          <t>Подключение периферии к WCS</t>
        </is>
      </c>
      <c r="C41" s="9" t="n">
        <v>83</v>
      </c>
      <c r="D41" s="9" t="n">
        <v>11</v>
      </c>
      <c r="E41" s="8" t="n">
        <v>46216</v>
      </c>
    </row>
    <row r="42">
      <c r="A42" s="12" t="inlineStr">
        <is>
          <t>6.6</t>
        </is>
      </c>
      <c r="B42" s="10" t="inlineStr">
        <is>
          <t>Проверки безопасности (аварийный останов, режимы)</t>
        </is>
      </c>
      <c r="C42" s="12" t="n">
        <v>90</v>
      </c>
      <c r="D42" s="12" t="n">
        <v>4</v>
      </c>
      <c r="E42" s="11" t="n">
        <v>46223</v>
      </c>
    </row>
    <row r="43">
      <c r="A43" s="9" t="inlineStr">
        <is>
          <t>7.1</t>
        </is>
      </c>
      <c r="B43" s="7" t="inlineStr">
        <is>
          <t>Лидарное сканирование зон работы</t>
        </is>
      </c>
      <c r="C43" s="9" t="n">
        <v>94</v>
      </c>
      <c r="D43" s="9" t="n">
        <v>3</v>
      </c>
      <c r="E43" s="8" t="n">
        <v>46227</v>
      </c>
    </row>
    <row r="44">
      <c r="A44" s="12" t="inlineStr">
        <is>
          <t>7.2</t>
        </is>
      </c>
      <c r="B44" s="10" t="inlineStr">
        <is>
          <t>Подготовка карты в формате LIF</t>
        </is>
      </c>
      <c r="C44" s="12" t="n">
        <v>97</v>
      </c>
      <c r="D44" s="12" t="n">
        <v>3</v>
      </c>
      <c r="E44" s="11" t="n">
        <v>46230</v>
      </c>
    </row>
    <row r="45">
      <c r="A45" s="9" t="inlineStr">
        <is>
          <t>7.3</t>
        </is>
      </c>
      <c r="B45" s="7" t="inlineStr">
        <is>
          <t>Валидация графа, согласование с технологией и ОТ</t>
        </is>
      </c>
      <c r="C45" s="9" t="n">
        <v>100</v>
      </c>
      <c r="D45" s="9" t="n">
        <v>1</v>
      </c>
      <c r="E45" s="8" t="n">
        <v>46233</v>
      </c>
    </row>
    <row r="46">
      <c r="A46" s="12" t="inlineStr">
        <is>
          <t>7.4</t>
        </is>
      </c>
      <c r="B46" s="10" t="inlineStr">
        <is>
          <t>Загрузка карты в WCS, контрольный прогон роботов</t>
        </is>
      </c>
      <c r="C46" s="12" t="n">
        <v>100</v>
      </c>
      <c r="D46" s="12" t="n">
        <v>1</v>
      </c>
      <c r="E46" s="11" t="n">
        <v>46233</v>
      </c>
    </row>
    <row r="47">
      <c r="A47" s="9" t="inlineStr">
        <is>
          <t>8.1</t>
        </is>
      </c>
      <c r="B47" s="7" t="inlineStr">
        <is>
          <t>Поочередная отладка сценариев работы парка</t>
        </is>
      </c>
      <c r="C47" s="9" t="n">
        <v>101</v>
      </c>
      <c r="D47" s="9" t="n">
        <v>21</v>
      </c>
      <c r="E47" s="8" t="n">
        <v>46234</v>
      </c>
    </row>
    <row r="48">
      <c r="A48" s="12" t="inlineStr">
        <is>
          <t>8.2</t>
        </is>
      </c>
      <c r="B48" s="10" t="inlineStr">
        <is>
          <t>Тестирование точек погрузки и разгрузки, точность позиционирования</t>
        </is>
      </c>
      <c r="C48" s="12" t="n">
        <v>111</v>
      </c>
      <c r="D48" s="12" t="n">
        <v>14</v>
      </c>
      <c r="E48" s="11" t="n">
        <v>46244</v>
      </c>
    </row>
    <row r="49">
      <c r="A49" s="9" t="inlineStr">
        <is>
          <t>8.3</t>
        </is>
      </c>
      <c r="B49" s="7" t="inlineStr">
        <is>
          <t>Тестирование сценариев исключений</t>
        </is>
      </c>
      <c r="C49" s="9" t="n">
        <v>118</v>
      </c>
      <c r="D49" s="9" t="n">
        <v>11</v>
      </c>
      <c r="E49" s="8" t="n">
        <v>46251</v>
      </c>
    </row>
    <row r="50">
      <c r="A50" s="12" t="inlineStr">
        <is>
          <t>8.4</t>
        </is>
      </c>
      <c r="B50" s="10" t="inlineStr">
        <is>
          <t>Обучение операторов и диспетчеров</t>
        </is>
      </c>
      <c r="C50" s="12" t="n">
        <v>118</v>
      </c>
      <c r="D50" s="12" t="n">
        <v>11</v>
      </c>
      <c r="E50" s="11" t="n">
        <v>46251</v>
      </c>
    </row>
    <row r="51">
      <c r="A51" s="9" t="inlineStr">
        <is>
          <t>8.5</t>
        </is>
      </c>
      <c r="B51" s="7" t="inlineStr">
        <is>
          <t>Инструктажи под подпись (охрана труда)</t>
        </is>
      </c>
      <c r="C51" s="9" t="n">
        <v>125</v>
      </c>
      <c r="D51" s="9" t="n">
        <v>4</v>
      </c>
      <c r="E51" s="8" t="n">
        <v>46258</v>
      </c>
    </row>
    <row r="52">
      <c r="A52" s="12" t="inlineStr">
        <is>
          <t>8.6</t>
        </is>
      </c>
      <c r="B52" s="10" t="inlineStr">
        <is>
          <t>Передача эксплуатационной документации</t>
        </is>
      </c>
      <c r="C52" s="12" t="n">
        <v>125</v>
      </c>
      <c r="D52" s="12" t="n">
        <v>4</v>
      </c>
      <c r="E52" s="11" t="n">
        <v>46258</v>
      </c>
    </row>
    <row r="53">
      <c r="A53" s="9" t="inlineStr">
        <is>
          <t>9.1</t>
        </is>
      </c>
      <c r="B53" s="7" t="inlineStr">
        <is>
          <t>Запуск опытной эксплуатации, дежурство команды</t>
        </is>
      </c>
      <c r="C53" s="9" t="n">
        <v>132</v>
      </c>
      <c r="D53" s="9" t="n">
        <v>11</v>
      </c>
      <c r="E53" s="8" t="n">
        <v>46265</v>
      </c>
    </row>
    <row r="54">
      <c r="A54" s="12" t="inlineStr">
        <is>
          <t>9.2</t>
        </is>
      </c>
      <c r="B54" s="10" t="inlineStr">
        <is>
          <t>Журналирование инцидентов, ежедневный разбор</t>
        </is>
      </c>
      <c r="C54" s="12" t="n">
        <v>132</v>
      </c>
      <c r="D54" s="12" t="n">
        <v>13</v>
      </c>
      <c r="E54" s="11" t="n">
        <v>46265</v>
      </c>
    </row>
    <row r="55">
      <c r="A55" s="9" t="inlineStr">
        <is>
          <t>9.3</t>
        </is>
      </c>
      <c r="B55" s="7" t="inlineStr">
        <is>
          <t>Закрытие замечаний — корректировка сценариев и настроек</t>
        </is>
      </c>
      <c r="C55" s="9" t="n">
        <v>135</v>
      </c>
      <c r="D55" s="9" t="n">
        <v>10</v>
      </c>
      <c r="E55" s="8" t="n">
        <v>46268</v>
      </c>
    </row>
    <row r="56">
      <c r="A56" s="12" t="inlineStr">
        <is>
          <t>9.4</t>
        </is>
      </c>
      <c r="B56" s="10" t="inlineStr">
        <is>
          <t>Подведение итогов опытной эксплуатации с заказчиком</t>
        </is>
      </c>
      <c r="C56" s="12" t="n">
        <v>143</v>
      </c>
      <c r="D56" s="12" t="n">
        <v>2</v>
      </c>
      <c r="E56" s="11" t="n">
        <v>46276</v>
      </c>
    </row>
    <row r="57">
      <c r="A57" s="9" t="inlineStr">
        <is>
          <t>10.1</t>
        </is>
      </c>
      <c r="B57" s="7" t="inlineStr">
        <is>
          <t>Подготовка программы и методики ПСИ</t>
        </is>
      </c>
      <c r="C57" s="9" t="n">
        <v>146</v>
      </c>
      <c r="D57" s="9" t="n">
        <v>2</v>
      </c>
      <c r="E57" s="8" t="n">
        <v>46279</v>
      </c>
    </row>
    <row r="58">
      <c r="A58" s="12" t="inlineStr">
        <is>
          <t>10.2</t>
        </is>
      </c>
      <c r="B58" s="10" t="inlineStr">
        <is>
          <t>Проведение ПСИ по согласованной программе</t>
        </is>
      </c>
      <c r="C58" s="12" t="n">
        <v>148</v>
      </c>
      <c r="D58" s="12" t="n">
        <v>7</v>
      </c>
      <c r="E58" s="11" t="n">
        <v>46281</v>
      </c>
    </row>
    <row r="59">
      <c r="A59" s="9" t="inlineStr">
        <is>
          <t>10.3</t>
        </is>
      </c>
      <c r="B59" s="7" t="inlineStr">
        <is>
          <t>Подготовка и подписание акта приёмки</t>
        </is>
      </c>
      <c r="C59" s="9" t="n">
        <v>155</v>
      </c>
      <c r="D59" s="9" t="n">
        <v>2</v>
      </c>
      <c r="E59" s="8" t="n">
        <v>46288</v>
      </c>
    </row>
    <row r="60">
      <c r="A60" s="12" t="inlineStr">
        <is>
          <t>10.4</t>
        </is>
      </c>
      <c r="B60" s="10" t="inlineStr">
        <is>
          <t>Передача на сопровождение, активация SLA</t>
        </is>
      </c>
      <c r="C60" s="12" t="n">
        <v>157</v>
      </c>
      <c r="D60" s="12" t="n">
        <v>2</v>
      </c>
      <c r="E60" s="11" t="n">
        <v>46290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0" customWidth="1" min="3" max="3"/>
  </cols>
  <sheetData>
    <row r="1">
      <c r="A1" s="1" t="inlineStr">
        <is>
          <t>Сводный список вех проекта</t>
        </is>
      </c>
    </row>
    <row r="2">
      <c r="A2" s="2" t="inlineStr">
        <is>
          <t>Контрольные точки М1–М10 — условия перехода между этапами.</t>
        </is>
      </c>
    </row>
    <row r="3" ht="28" customHeight="1">
      <c r="A3" s="3" t="inlineStr">
        <is>
          <t>Веха</t>
        </is>
      </c>
      <c r="B3" s="3" t="inlineStr">
        <is>
          <t>Дата</t>
        </is>
      </c>
      <c r="C3" s="3" t="inlineStr">
        <is>
          <t>Содержание</t>
        </is>
      </c>
    </row>
    <row r="4" ht="22" customHeight="1">
      <c r="A4" s="13" t="inlineStr">
        <is>
          <t>М1</t>
        </is>
      </c>
      <c r="B4" s="14" t="n">
        <v>46164</v>
      </c>
      <c r="C4" s="15" t="inlineStr">
        <is>
          <t>Предпроектная стадия закрыта (ТЗ, сценарии, тележка, требования к среде, устав).</t>
        </is>
      </c>
    </row>
    <row r="5" ht="22" customHeight="1">
      <c r="A5" s="13" t="inlineStr">
        <is>
          <t>М2</t>
        </is>
      </c>
      <c r="B5" s="14" t="n">
        <v>46188</v>
      </c>
      <c r="C5" s="15" t="inlineStr">
        <is>
          <t>Оборудование (5 роботов, 3 ЗУ) готово к отгрузке.</t>
        </is>
      </c>
    </row>
    <row r="6" ht="22" customHeight="1">
      <c r="A6" s="13" t="inlineStr">
        <is>
          <t>М3</t>
        </is>
      </c>
      <c r="B6" s="14" t="n">
        <v>46205</v>
      </c>
      <c r="C6" s="15" t="inlineStr">
        <is>
          <t>Оборудование на площадке заказчика.</t>
        </is>
      </c>
    </row>
    <row r="7" ht="22" customHeight="1">
      <c r="A7" s="13" t="inlineStr">
        <is>
          <t>М4</t>
        </is>
      </c>
      <c r="B7" s="14" t="n">
        <v>46203</v>
      </c>
      <c r="C7" s="15" t="inlineStr">
        <is>
          <t>Площадка заказчика готова к приёмке оборудования.</t>
        </is>
      </c>
    </row>
    <row r="8" ht="22" customHeight="1">
      <c r="A8" s="13" t="inlineStr">
        <is>
          <t>М5</t>
        </is>
      </c>
      <c r="B8" s="14" t="n">
        <v>46206</v>
      </c>
      <c r="C8" s="15" t="inlineStr">
        <is>
          <t>Серверная часть WCS установлена и интегрирована.</t>
        </is>
      </c>
    </row>
    <row r="9" ht="22" customHeight="1">
      <c r="A9" s="13" t="inlineStr">
        <is>
          <t>М6</t>
        </is>
      </c>
      <c r="B9" s="14" t="n">
        <v>46227</v>
      </c>
      <c r="C9" s="15" t="inlineStr">
        <is>
          <t>Парк подключён к WCS, прошёл проверку безопасности.</t>
        </is>
      </c>
    </row>
    <row r="10" ht="22" customHeight="1">
      <c r="A10" s="13" t="inlineStr">
        <is>
          <t>М7</t>
        </is>
      </c>
      <c r="B10" s="14" t="n">
        <v>46234</v>
      </c>
      <c r="C10" s="15" t="inlineStr">
        <is>
          <t>Карта в формате LIF утверждена и загружена.</t>
        </is>
      </c>
    </row>
    <row r="11" ht="22" customHeight="1">
      <c r="A11" s="13" t="inlineStr">
        <is>
          <t>М8</t>
        </is>
      </c>
      <c r="B11" s="14" t="n">
        <v>46262</v>
      </c>
      <c r="C11" s="15" t="inlineStr">
        <is>
          <t>Сценарии отлажены, персонал обучен.</t>
        </is>
      </c>
    </row>
    <row r="12" ht="22" customHeight="1">
      <c r="A12" s="13" t="inlineStr">
        <is>
          <t>М9</t>
        </is>
      </c>
      <c r="B12" s="14" t="n">
        <v>46278</v>
      </c>
      <c r="C12" s="15" t="inlineStr">
        <is>
          <t>Опытная эксплуатация завершена.</t>
        </is>
      </c>
    </row>
    <row r="13" ht="22" customHeight="1">
      <c r="A13" s="13" t="inlineStr">
        <is>
          <t>М10</t>
        </is>
      </c>
      <c r="B13" s="14" t="n">
        <v>46292</v>
      </c>
      <c r="C13" s="15" t="inlineStr">
        <is>
          <t>Промышленная эксплуатация и сопровождение.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Обязательства заказчика</t>
        </is>
      </c>
    </row>
    <row r="2">
      <c r="A2" s="2" t="inlineStr">
        <is>
          <t>Действия и материалы, которые предоставляет заказчик к контрольным точкам.</t>
        </is>
      </c>
    </row>
    <row r="3" ht="28" customHeight="1">
      <c r="A3" s="3" t="inlineStr">
        <is>
          <t>Требование</t>
        </is>
      </c>
      <c r="B3" s="3" t="inlineStr">
        <is>
          <t>Срок</t>
        </is>
      </c>
      <c r="C3" s="3" t="inlineStr">
        <is>
          <t>Контрольная точка</t>
        </is>
      </c>
    </row>
    <row r="4" ht="20" customHeight="1">
      <c r="A4" s="10" t="inlineStr">
        <is>
          <t>Ответы по опросным листам всех пяти подразделений</t>
        </is>
      </c>
      <c r="B4" s="11" t="n">
        <v>46157</v>
      </c>
      <c r="C4" s="12" t="inlineStr">
        <is>
          <t>М1</t>
        </is>
      </c>
    </row>
    <row r="5" ht="20" customHeight="1">
      <c r="A5" s="7" t="inlineStr">
        <is>
          <t>Утверждение технического задания и сценариев работы парка</t>
        </is>
      </c>
      <c r="B5" s="8" t="n">
        <v>46164</v>
      </c>
      <c r="C5" s="9" t="inlineStr">
        <is>
          <t>М1</t>
        </is>
      </c>
    </row>
    <row r="6" ht="20" customHeight="1">
      <c r="A6" s="10" t="inlineStr">
        <is>
          <t>Подписание устава проекта</t>
        </is>
      </c>
      <c r="B6" s="11" t="n">
        <v>46164</v>
      </c>
      <c r="C6" s="12" t="inlineStr">
        <is>
          <t>М1</t>
        </is>
      </c>
    </row>
    <row r="7" ht="20" customHeight="1">
      <c r="A7" s="7" t="inlineStr">
        <is>
          <t>Утверждение конструкции тележки</t>
        </is>
      </c>
      <c r="B7" s="8" t="n">
        <v>46157</v>
      </c>
      <c r="C7" s="9" t="inlineStr">
        <is>
          <t>М1</t>
        </is>
      </c>
    </row>
    <row r="8" ht="20" customHeight="1">
      <c r="A8" s="10" t="inlineStr">
        <is>
          <t>Выдача доступов команде Automacon</t>
        </is>
      </c>
      <c r="B8" s="11" t="n">
        <v>46164</v>
      </c>
      <c r="C8" s="12" t="inlineStr">
        <is>
          <t>М4</t>
        </is>
      </c>
    </row>
    <row r="9" ht="20" customHeight="1">
      <c r="A9" s="7" t="inlineStr">
        <is>
          <t>Выделение виртуальных машин под платформу</t>
        </is>
      </c>
      <c r="B9" s="8" t="n">
        <v>46171</v>
      </c>
      <c r="C9" s="9" t="inlineStr">
        <is>
          <t>М5</t>
        </is>
      </c>
    </row>
    <row r="10" ht="20" customHeight="1">
      <c r="A10" s="10" t="inlineStr">
        <is>
          <t>Готовность электропитания зарядной зоны</t>
        </is>
      </c>
      <c r="B10" s="11" t="n">
        <v>46192</v>
      </c>
      <c r="C10" s="12" t="inlineStr">
        <is>
          <t>М4</t>
        </is>
      </c>
    </row>
    <row r="11" ht="20" customHeight="1">
      <c r="A11" s="7" t="inlineStr">
        <is>
          <t>Готовность беспроводной сети в зонах работы</t>
        </is>
      </c>
      <c r="B11" s="8" t="n">
        <v>46192</v>
      </c>
      <c r="C11" s="9" t="inlineStr">
        <is>
          <t>М4</t>
        </is>
      </c>
    </row>
    <row r="12" ht="20" customHeight="1">
      <c r="A12" s="10" t="inlineStr">
        <is>
          <t>Согласование маршрутов, REST-точек, зон зарядки (технология/ОТ/диспетчер)</t>
        </is>
      </c>
      <c r="B12" s="11" t="n">
        <v>46185</v>
      </c>
      <c r="C12" s="12" t="inlineStr">
        <is>
          <t>М4</t>
        </is>
      </c>
    </row>
    <row r="13" ht="20" customHeight="1">
      <c r="A13" s="7" t="inlineStr">
        <is>
          <t>Согласование ИБ-регламентов и выпуск технологических учётных записей</t>
        </is>
      </c>
      <c r="B13" s="8" t="n">
        <v>46192</v>
      </c>
      <c r="C13" s="9" t="inlineStr">
        <is>
          <t>М4 / М5</t>
        </is>
      </c>
    </row>
    <row r="14" ht="20" customHeight="1">
      <c r="A14" s="10" t="inlineStr">
        <is>
          <t>Подготовка зон работы (чистота, разметка)</t>
        </is>
      </c>
      <c r="B14" s="11" t="n">
        <v>46199</v>
      </c>
      <c r="C14" s="12" t="inlineStr">
        <is>
          <t>М4</t>
        </is>
      </c>
    </row>
    <row r="15" ht="20" customHeight="1">
      <c r="A15" s="7" t="inlineStr">
        <is>
          <t>Назначение ответственных за инструктажи и обучение</t>
        </is>
      </c>
      <c r="B15" s="8" t="n">
        <v>46251</v>
      </c>
      <c r="C15" s="9" t="inlineStr">
        <is>
          <t>М8</t>
        </is>
      </c>
    </row>
    <row r="16" ht="20" customHeight="1">
      <c r="A16" s="10" t="inlineStr">
        <is>
          <t>Назначение приёмочной комиссии</t>
        </is>
      </c>
      <c r="B16" s="11" t="n">
        <v>46279</v>
      </c>
      <c r="C16" s="12" t="inlineStr">
        <is>
          <t>М10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2026-04-30T10:59:44Z</dcterms:created>
  <dcterms:modified xsi:type="dcterms:W3CDTF">2026-04-30T10:59:44Z</dcterms:modified>
</cp:coreProperties>
</file>